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adow Projection" sheetId="1" state="visible" r:id="rId3"/>
    <sheet name="Formula Refer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<sst xmlns="http://schemas.openxmlformats.org/spreadsheetml/2006/main" count="69" uniqueCount="57">
  <si>
    <t xml:space="preserve">SHADOW PROJECTION — WEEK 07</t>
  </si>
  <si>
    <t xml:space="preserve">3D Computer Graphics | Triangle Shadow Casting on Plane z=0</t>
  </si>
  <si>
    <t xml:space="preserve">Triangle Vertices (3D)</t>
  </si>
  <si>
    <t xml:space="preserve">Shadow Projection (onto plane z=0)</t>
  </si>
  <si>
    <t xml:space="preserve">Vertex</t>
  </si>
  <si>
    <t xml:space="preserve">X</t>
  </si>
  <si>
    <t xml:space="preserve">Y</t>
  </si>
  <si>
    <t xml:space="preserve">Z</t>
  </si>
  <si>
    <t xml:space="preserve">Px</t>
  </si>
  <si>
    <t xml:space="preserve">Py</t>
  </si>
  <si>
    <t xml:space="preserve">Pz</t>
  </si>
  <si>
    <t xml:space="preserve">Shadow X</t>
  </si>
  <si>
    <t xml:space="preserve">Shadow Y</t>
  </si>
  <si>
    <t xml:space="preserve">Shadow Z</t>
  </si>
  <si>
    <t xml:space="preserve">V0</t>
  </si>
  <si>
    <t xml:space="preserve">V1</t>
  </si>
  <si>
    <t xml:space="preserve">V2</t>
  </si>
  <si>
    <t xml:space="preserve">V3</t>
  </si>
  <si>
    <t xml:space="preserve">Light Source (3D)</t>
  </si>
  <si>
    <t xml:space="preserve">Object Plot Data (XY view)</t>
  </si>
  <si>
    <t xml:space="preserve">Name</t>
  </si>
  <si>
    <t xml:space="preserve">Obj X</t>
  </si>
  <si>
    <t xml:space="preserve">Obj Y</t>
  </si>
  <si>
    <t xml:space="preserve">Light</t>
  </si>
  <si>
    <t xml:space="preserve">Triangle Normal (Cross Product)</t>
  </si>
  <si>
    <t xml:space="preserve">Nx</t>
  </si>
  <si>
    <t xml:space="preserve">Ny</t>
  </si>
  <si>
    <t xml:space="preserve">Nz</t>
  </si>
  <si>
    <t xml:space="preserve">Edge1 (V2-V1)</t>
  </si>
  <si>
    <t xml:space="preserve">Edge2 (V3-V1)</t>
  </si>
  <si>
    <t xml:space="preserve">Normal (Nx,Ny,Nz)</t>
  </si>
  <si>
    <t xml:space="preserve">Centroid</t>
  </si>
  <si>
    <t xml:space="preserve">Cx</t>
  </si>
  <si>
    <t xml:space="preserve">Cy</t>
  </si>
  <si>
    <t xml:space="preserve">Cz</t>
  </si>
  <si>
    <t xml:space="preserve">Lambert Intensity</t>
  </si>
  <si>
    <t xml:space="preserve">L dot N</t>
  </si>
  <si>
    <t xml:space="preserve">Lambert I</t>
  </si>
  <si>
    <t xml:space="preserve">SHADOW PROJECTION FORMULA REFERENCE</t>
  </si>
  <si>
    <t xml:space="preserve">STEP</t>
  </si>
  <si>
    <t xml:space="preserve">DESCRIPTION</t>
  </si>
  <si>
    <t xml:space="preserve">FORMULA</t>
  </si>
  <si>
    <t xml:space="preserve">1. Normal</t>
  </si>
  <si>
    <t xml:space="preserve">Cross product of edges</t>
  </si>
  <si>
    <t xml:space="preserve">2. Centroid</t>
  </si>
  <si>
    <t xml:space="preserve">Average of vertices</t>
  </si>
  <si>
    <t xml:space="preserve">3. Light Dir</t>
  </si>
  <si>
    <t xml:space="preserve">Light minus centroid</t>
  </si>
  <si>
    <t xml:space="preserve">4. Lambert</t>
  </si>
  <si>
    <t xml:space="preserve">Dot product N·L</t>
  </si>
  <si>
    <t xml:space="preserve">5. Shadow t</t>
  </si>
  <si>
    <t xml:space="preserve">Intersection parameter</t>
  </si>
  <si>
    <t xml:space="preserve">6. Shadow Pt</t>
  </si>
  <si>
    <t xml:space="preserve">Shadow on z=0 plane</t>
  </si>
  <si>
    <t xml:space="preserve">RESULT</t>
  </si>
  <si>
    <t xml:space="preserve">Shadow.z should equal 0</t>
  </si>
  <si>
    <t xml:space="preserve">Ringkas / Direct substitution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</si>
</sst>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94560"/>
      <name val="Calibri"/>
      <family val="0"/>
      <charset val="1"/>
    </font>
    <font>
      <sz val="10"/>
      <color rgb="FFAAAAA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A1A2E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1A1A2E"/>
      <name val="Calibri"/>
      <family val="0"/>
      <charset val="1"/>
    </font>
    <font>
      <sz val="10"/>
      <color rgb="FF0D47A1"/>
      <name val="Calibri"/>
      <family val="0"/>
      <charset val="1"/>
    </font>
    <font>
      <b val="true"/>
      <sz val="10"/>
      <color rgb="FF880E4F"/>
      <name val="Calibri"/>
      <family val="0"/>
      <charset val="1"/>
    </font>
    <font>
      <b val="true"/>
      <sz val="10"/>
      <color rgb="FFE65100"/>
      <name val="Calibri"/>
      <family val="0"/>
      <charset val="1"/>
    </font>
    <font>
      <b val="true"/>
      <sz val="10"/>
      <color rgb="FF0D47A1"/>
      <name val="Calibri"/>
      <family val="0"/>
      <charset val="1"/>
    </font>
    <font>
      <b val="true"/>
      <sz val="10"/>
      <color rgb="FF6A1B9A"/>
      <name val="Calibri"/>
      <family val="0"/>
      <charset val="1"/>
    </font>
    <font>
      <b val="true"/>
      <sz val="10"/>
      <color rgb="FF006064"/>
      <name val="Calibri"/>
      <family val="0"/>
      <charset val="1"/>
    </font>
    <font>
      <b val="true"/>
      <sz val="12"/>
      <color rgb="FFE651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E94560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003380"/>
      </patternFill>
    </fill>
    <fill>
      <patternFill patternType="solid">
        <fgColor rgb="FFF5F5F5"/>
        <bgColor rgb="FFE8F5E9"/>
      </patternFill>
    </fill>
    <fill>
      <patternFill patternType="solid">
        <fgColor rgb="FFFCE4EC"/>
        <bgColor rgb="FFF3E5F5"/>
      </patternFill>
    </fill>
    <fill>
      <patternFill patternType="solid">
        <fgColor rgb="FFFFFFFF"/>
        <bgColor rgb="FFF5F5F5"/>
      </patternFill>
    </fill>
    <fill>
      <patternFill patternType="solid">
        <fgColor rgb="FFFFF8E1"/>
        <bgColor rgb="FFFFF3E0"/>
      </patternFill>
    </fill>
    <fill>
      <patternFill patternType="solid">
        <fgColor rgb="FFFFF9C4"/>
        <bgColor rgb="FFFFF8E1"/>
      </patternFill>
    </fill>
    <fill>
      <patternFill patternType="solid">
        <fgColor rgb="FFE3F2FD"/>
        <bgColor rgb="FFE0F7FA"/>
      </patternFill>
    </fill>
    <fill>
      <patternFill patternType="solid">
        <fgColor rgb="FFE8F5E9"/>
        <bgColor rgb="FFE0F7FA"/>
      </patternFill>
    </fill>
    <fill>
      <patternFill patternType="solid">
        <fgColor rgb="FFFFF3E0"/>
        <bgColor rgb="FFFFF8E1"/>
      </patternFill>
    </fill>
    <fill>
      <patternFill patternType="solid">
        <fgColor rgb="FFF3E5F5"/>
        <bgColor rgb="FFFCE4EC"/>
      </patternFill>
    </fill>
    <fill>
      <patternFill patternType="solid">
        <fgColor rgb="FFE0F7FA"/>
        <bgColor rgb="FFE3F2F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3380"/>
      <rgbColor rgb="FF808000"/>
      <rgbColor rgb="FF880E4F"/>
      <rgbColor rgb="FF006064"/>
      <rgbColor rgb="FFCCCCCC"/>
      <rgbColor rgb="FF878787"/>
      <rgbColor rgb="FF9999FF"/>
      <rgbColor rgb="FFE94560"/>
      <rgbColor rgb="FFFFF9C4"/>
      <rgbColor rgb="FFE0F7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6A1B9A"/>
      <rgbColor rgb="FF800000"/>
      <rgbColor rgb="FF008080"/>
      <rgbColor rgb="FF0000FF"/>
      <rgbColor rgb="FF00CCFF"/>
      <rgbColor rgb="FFE3F2FD"/>
      <rgbColor rgb="FFE8F5E9"/>
      <rgbColor rgb="FFFFF8E1"/>
      <rgbColor rgb="FFF3E5F5"/>
      <rgbColor rgb="FFFFF3E0"/>
      <rgbColor rgb="FFF5F5F5"/>
      <rgbColor rgb="FFFCE4EC"/>
      <rgbColor rgb="FF3366FF"/>
      <rgbColor rgb="FF33CCCC"/>
      <rgbColor rgb="FF99CC00"/>
      <rgbColor rgb="FFFFCC00"/>
      <rgbColor rgb="FFFF9900"/>
      <rgbColor rgb="FFE65100"/>
      <rgbColor rgb="FF666699"/>
      <rgbColor rgb="FFAAAAAA"/>
      <rgbColor rgb="FF0F3460"/>
      <rgbColor rgb="FF339966"/>
      <rgbColor rgb="FF003300"/>
      <rgbColor rgb="FF1A1A2E"/>
      <rgbColor rgb="FF993300"/>
      <rgbColor rgb="FF993366"/>
      <rgbColor rgb="FF0D47A1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Object &amp; Shadow Projection (XY Plane)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"Object"</c:f>
              <c:strCache>
                <c:ptCount val="1"/>
                <c:pt idx="0">
                  <c:v>Object</c:v>
                </c:pt>
              </c:strCache>
            </c:strRef>
          </c:tx>
          <c:spPr>
            <a:solidFill>
              <a:srgbClr val="003380"/>
            </a:solidFill>
            <a:ln w="24840">
              <a:solidFill>
                <a:srgbClr val="003380"/>
              </a:solidFill>
              <a:round/>
            </a:ln>
          </c:spPr>
          <c:marker>
            <c:symbol val="circle"/>
            <c:size val="8"/>
            <c:spPr>
              <a:solidFill>
                <a:srgbClr val="00338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'Shadow Projection'!$G$13:$G$17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'Shadow Projection'!$H$13:$H$17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"Shadow"</c:f>
              <c:strCache>
                <c:ptCount val="1"/>
                <c:pt idx="0">
                  <c:v>Shadow</c:v>
                </c:pt>
              </c:strCache>
            </c:strRef>
          </c:tx>
          <c:spPr>
            <a:solidFill>
              <a:srgbClr val="cc0000"/>
            </a:solidFill>
            <a:ln w="20160">
              <a:solidFill>
                <a:srgbClr val="cc0000"/>
              </a:solidFill>
              <a:round/>
            </a:ln>
          </c:spPr>
          <c:marker>
            <c:symbol val="diamond"/>
            <c:size val="6"/>
            <c:spPr>
              <a:solidFill>
                <a:srgbClr val="cc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'Shadow Projection'!$I$13:$I$17</c:f>
              <c:numCache>
                <c:formatCode>General</c:formatCode>
                <c:ptCount val="5"/>
                <c:pt idx="0">
                  <c:v>-0.5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-0.5</c:v>
                </c:pt>
              </c:numCache>
            </c:numRef>
          </c:xVal>
          <c:yVal>
            <c:numRef>
              <c:f>'Shadow Projection'!$J$13:$J$17</c:f>
              <c:numCache>
                <c:formatCode>General</c:formatCode>
                <c:ptCount val="5"/>
                <c:pt idx="0">
                  <c:v>-0.75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-0.75</c:v>
                </c:pt>
              </c:numCache>
            </c:numRef>
          </c:yVal>
          <c:smooth val="1"/>
        </c:ser>
        <c:axId val="52502643"/>
        <c:axId val="47281019"/>
      </c:scatterChart>
      <c:valAx>
        <c:axId val="525026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81019"/>
        <c:crosses val="autoZero"/>
        <c:crossBetween val="midCat"/>
      </c:valAx>
      <c:valAx>
        <c:axId val="472810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0264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18</xdr:row>
      <xdr:rowOff>0</xdr:rowOff>
    </xdr:from>
    <xdr:to>
      <xdr:col>16</xdr:col>
      <xdr:colOff>196920</xdr:colOff>
      <xdr:row>43</xdr:row>
      <xdr:rowOff>57960</xdr:rowOff>
    </xdr:to>
    <xdr:graphicFrame>
      <xdr:nvGraphicFramePr>
        <xdr:cNvPr id="0" name="Chart 1"/>
        <xdr:cNvGraphicFramePr/>
      </xdr:nvGraphicFramePr>
      <xdr:xfrm>
        <a:off x="3806280" y="409572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8"/>
    <col collapsed="false" customWidth="true" hidden="false" outlineLevel="0" max="6" min="6" style="0" width="2"/>
    <col collapsed="false" customWidth="true" hidden="false" outlineLevel="0" max="7" min="7" style="0" width="10"/>
    <col collapsed="false" customWidth="true" hidden="false" outlineLevel="0" max="10" min="8" style="0" width="8"/>
    <col collapsed="false" customWidth="true" hidden="false" outlineLevel="0" max="14" min="11" style="0" width="1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G4" s="3" t="s">
        <v>3</v>
      </c>
      <c r="H4" s="3"/>
      <c r="I4" s="3"/>
      <c r="J4" s="3"/>
      <c r="K4" s="3"/>
      <c r="L4" s="3"/>
      <c r="M4" s="3"/>
      <c r="N4" s="3"/>
    </row>
    <row r="5" customFormat="false" ht="18" hidden="false" customHeight="true" outlineLevel="0" collapsed="false">
      <c r="A5" s="4" t="s">
        <v>4</v>
      </c>
      <c r="B5" s="4" t="s">
        <v>5</v>
      </c>
      <c r="C5" s="4" t="s">
        <v>6</v>
      </c>
      <c r="D5" s="4" t="s">
        <v>7</v>
      </c>
      <c r="G5" s="4" t="s">
        <v>4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</row>
    <row r="6" customFormat="false" ht="18" hidden="false" customHeight="true" outlineLevel="0" collapsed="false">
      <c r="A6" s="5" t="s">
        <v>14</v>
      </c>
      <c r="B6" s="6" t="n">
        <v>0</v>
      </c>
      <c r="C6" s="6" t="n">
        <v>0</v>
      </c>
      <c r="D6" s="6" t="n">
        <v>1</v>
      </c>
      <c r="G6" s="7" t="s">
        <v>14</v>
      </c>
      <c r="H6" s="8" t="n">
        <f aca="false">B6</f>
        <v>0</v>
      </c>
      <c r="I6" s="8" t="n">
        <f aca="false">C6</f>
        <v>0</v>
      </c>
      <c r="J6" s="8" t="n">
        <f aca="false">D6</f>
        <v>1</v>
      </c>
      <c r="K6" s="9" t="n">
        <f aca="false">B6+(-D6/(D13-D6))*(B13-B6)</f>
        <v>-0.5</v>
      </c>
      <c r="L6" s="9" t="n">
        <f aca="false">C6+(-D6/(D13-D6))*(C13-C6)</f>
        <v>-0.75</v>
      </c>
      <c r="M6" s="9" t="n">
        <f aca="false">D6+(-D6/(D13-D6))*(D13-D6)</f>
        <v>0</v>
      </c>
    </row>
    <row r="7" customFormat="false" ht="18" hidden="false" customHeight="true" outlineLevel="0" collapsed="false">
      <c r="A7" s="10" t="s">
        <v>15</v>
      </c>
      <c r="B7" s="11" t="n">
        <v>0</v>
      </c>
      <c r="C7" s="11" t="n">
        <v>1</v>
      </c>
      <c r="D7" s="11" t="n">
        <v>0</v>
      </c>
      <c r="G7" s="12" t="s">
        <v>15</v>
      </c>
      <c r="H7" s="13" t="n">
        <f aca="false">B7</f>
        <v>0</v>
      </c>
      <c r="I7" s="13" t="n">
        <f aca="false">C7</f>
        <v>1</v>
      </c>
      <c r="J7" s="13" t="n">
        <f aca="false">D7</f>
        <v>0</v>
      </c>
      <c r="K7" s="14" t="n">
        <f aca="false">B7+(-D7/(D13-D7))*(B13-B7)</f>
        <v>0</v>
      </c>
      <c r="L7" s="14" t="n">
        <f aca="false">C7+(-D7/(D13-D7))*(C13-C7)</f>
        <v>1</v>
      </c>
      <c r="M7" s="14" t="n">
        <f aca="false">D7+(-D7/(D13-D7))*(D13-D7)</f>
        <v>0</v>
      </c>
    </row>
    <row r="8" customFormat="false" ht="18" hidden="false" customHeight="true" outlineLevel="0" collapsed="false">
      <c r="A8" s="5" t="s">
        <v>16</v>
      </c>
      <c r="B8" s="6" t="n">
        <v>1</v>
      </c>
      <c r="C8" s="6" t="n">
        <v>0</v>
      </c>
      <c r="D8" s="6" t="n">
        <v>0</v>
      </c>
      <c r="G8" s="7" t="s">
        <v>16</v>
      </c>
      <c r="H8" s="8" t="n">
        <f aca="false">B8</f>
        <v>1</v>
      </c>
      <c r="I8" s="8" t="n">
        <f aca="false">C8</f>
        <v>0</v>
      </c>
      <c r="J8" s="8" t="n">
        <f aca="false">D8</f>
        <v>0</v>
      </c>
      <c r="K8" s="9" t="n">
        <f aca="false">B8+(-D8/(D13-D8))*(B13-B8)</f>
        <v>1</v>
      </c>
      <c r="L8" s="9" t="n">
        <f aca="false">C8+(-D8/(D13-D8))*(C13-C8)</f>
        <v>0</v>
      </c>
      <c r="M8" s="9" t="n">
        <f aca="false">D8+(-D8/(D13-D8))*(D13-D8)</f>
        <v>0</v>
      </c>
    </row>
    <row r="9" customFormat="false" ht="18" hidden="false" customHeight="true" outlineLevel="0" collapsed="false">
      <c r="A9" s="10" t="s">
        <v>17</v>
      </c>
      <c r="B9" s="11" t="n">
        <v>0</v>
      </c>
      <c r="C9" s="11" t="n">
        <v>0</v>
      </c>
      <c r="D9" s="11" t="n">
        <v>0</v>
      </c>
      <c r="G9" s="12" t="s">
        <v>17</v>
      </c>
      <c r="H9" s="13" t="n">
        <f aca="false">B9</f>
        <v>0</v>
      </c>
      <c r="I9" s="13" t="n">
        <f aca="false">C9</f>
        <v>0</v>
      </c>
      <c r="J9" s="13" t="n">
        <f aca="false">D9</f>
        <v>0</v>
      </c>
      <c r="K9" s="14" t="n">
        <f aca="false">B9+(-D9/(D13-D9))*(B13-B9)</f>
        <v>0</v>
      </c>
      <c r="L9" s="14" t="n">
        <f aca="false">C9+(-D9/(D13-D9))*(C13-C9)</f>
        <v>0</v>
      </c>
      <c r="M9" s="14" t="n">
        <f aca="false">D9+(-D9/(D13-D9))*(D13-D9)</f>
        <v>0</v>
      </c>
    </row>
    <row r="10" customFormat="false" ht="7.5" hidden="false" customHeight="true" outlineLevel="0" collapsed="false"/>
    <row r="11" customFormat="false" ht="21.75" hidden="false" customHeight="true" outlineLevel="0" collapsed="false">
      <c r="A11" s="3" t="s">
        <v>18</v>
      </c>
      <c r="B11" s="3"/>
      <c r="C11" s="3"/>
      <c r="D11" s="3"/>
      <c r="E11" s="3"/>
      <c r="G11" s="3" t="s">
        <v>19</v>
      </c>
      <c r="H11" s="3"/>
      <c r="I11" s="3"/>
      <c r="J11" s="3"/>
      <c r="K11" s="3"/>
      <c r="L11" s="3"/>
      <c r="M11" s="3"/>
      <c r="N11" s="3"/>
    </row>
    <row r="12" customFormat="false" ht="18" hidden="false" customHeight="true" outlineLevel="0" collapsed="false">
      <c r="A12" s="4" t="s">
        <v>20</v>
      </c>
      <c r="B12" s="4" t="s">
        <v>5</v>
      </c>
      <c r="C12" s="4" t="s">
        <v>6</v>
      </c>
      <c r="D12" s="4" t="s">
        <v>7</v>
      </c>
      <c r="G12" s="4" t="s">
        <v>21</v>
      </c>
      <c r="H12" s="4" t="s">
        <v>22</v>
      </c>
      <c r="I12" s="4" t="s">
        <v>11</v>
      </c>
      <c r="J12" s="4" t="s">
        <v>12</v>
      </c>
    </row>
    <row r="13" customFormat="false" ht="16.5" hidden="false" customHeight="true" outlineLevel="0" collapsed="false">
      <c r="A13" s="15" t="s">
        <v>23</v>
      </c>
      <c r="B13" s="15" t="n">
        <v>2</v>
      </c>
      <c r="C13" s="15" t="n">
        <v>3</v>
      </c>
      <c r="D13" s="15" t="n">
        <v>5</v>
      </c>
      <c r="G13" s="6" t="n">
        <f aca="false">B6</f>
        <v>0</v>
      </c>
      <c r="H13" s="6" t="n">
        <f aca="false">C6</f>
        <v>0</v>
      </c>
      <c r="I13" s="6" t="n">
        <f aca="false">K6</f>
        <v>-0.5</v>
      </c>
      <c r="J13" s="6" t="n">
        <f aca="false">L6</f>
        <v>-0.75</v>
      </c>
    </row>
    <row r="14" customFormat="false" ht="16.5" hidden="false" customHeight="true" outlineLevel="0" collapsed="false">
      <c r="G14" s="11" t="n">
        <f aca="false">B7</f>
        <v>0</v>
      </c>
      <c r="H14" s="11" t="n">
        <f aca="false">C7</f>
        <v>1</v>
      </c>
      <c r="I14" s="11" t="n">
        <f aca="false">K7</f>
        <v>0</v>
      </c>
      <c r="J14" s="11" t="n">
        <f aca="false">L7</f>
        <v>1</v>
      </c>
    </row>
    <row r="15" customFormat="false" ht="16.5" hidden="false" customHeight="true" outlineLevel="0" collapsed="false">
      <c r="A15" s="3" t="s">
        <v>24</v>
      </c>
      <c r="B15" s="3"/>
      <c r="C15" s="3"/>
      <c r="D15" s="3"/>
      <c r="E15" s="3"/>
      <c r="G15" s="6" t="n">
        <f aca="false">B8</f>
        <v>1</v>
      </c>
      <c r="H15" s="6" t="n">
        <f aca="false">C8</f>
        <v>0</v>
      </c>
      <c r="I15" s="6" t="n">
        <f aca="false">K8</f>
        <v>1</v>
      </c>
      <c r="J15" s="6" t="n">
        <f aca="false">L8</f>
        <v>0</v>
      </c>
    </row>
    <row r="16" customFormat="false" ht="16.5" hidden="false" customHeight="true" outlineLevel="0" collapsed="false">
      <c r="A16" s="4"/>
      <c r="B16" s="4" t="s">
        <v>25</v>
      </c>
      <c r="C16" s="4" t="s">
        <v>26</v>
      </c>
      <c r="D16" s="4" t="s">
        <v>27</v>
      </c>
      <c r="G16" s="11" t="n">
        <f aca="false">B9</f>
        <v>0</v>
      </c>
      <c r="H16" s="11" t="n">
        <f aca="false">C9</f>
        <v>0</v>
      </c>
      <c r="I16" s="11" t="n">
        <f aca="false">K9</f>
        <v>0</v>
      </c>
      <c r="J16" s="11" t="n">
        <f aca="false">L9</f>
        <v>0</v>
      </c>
    </row>
    <row r="17" customFormat="false" ht="16.5" hidden="false" customHeight="true" outlineLevel="0" collapsed="false">
      <c r="A17" s="16" t="s">
        <v>28</v>
      </c>
      <c r="B17" s="17" t="n">
        <f aca="false">B7-B6</f>
        <v>0</v>
      </c>
      <c r="C17" s="17" t="n">
        <f aca="false">C7-C6</f>
        <v>1</v>
      </c>
      <c r="D17" s="17" t="n">
        <f aca="false">D7-D6</f>
        <v>-1</v>
      </c>
      <c r="G17" s="6" t="n">
        <f aca="false">B6</f>
        <v>0</v>
      </c>
      <c r="H17" s="6" t="n">
        <f aca="false">C6</f>
        <v>0</v>
      </c>
      <c r="I17" s="6" t="n">
        <f aca="false">K6</f>
        <v>-0.5</v>
      </c>
      <c r="J17" s="6" t="n">
        <f aca="false">L6</f>
        <v>-0.75</v>
      </c>
    </row>
    <row r="18" customFormat="false" ht="18" hidden="false" customHeight="true" outlineLevel="0" collapsed="false">
      <c r="A18" s="18" t="s">
        <v>29</v>
      </c>
      <c r="B18" s="19" t="n">
        <f aca="false">B8-B6</f>
        <v>1</v>
      </c>
      <c r="C18" s="19" t="n">
        <f aca="false">C8-C6</f>
        <v>0</v>
      </c>
      <c r="D18" s="19" t="n">
        <f aca="false">D8-D6</f>
        <v>-1</v>
      </c>
    </row>
    <row r="19" customFormat="false" ht="7.5" hidden="false" customHeight="true" outlineLevel="0" collapsed="false">
      <c r="A19" s="20" t="s">
        <v>30</v>
      </c>
      <c r="B19" s="21" t="n">
        <f aca="false">C17*D18-D17*C18</f>
        <v>-1</v>
      </c>
      <c r="C19" s="21" t="n">
        <f aca="false">D17*B18-B17*D18</f>
        <v>-1</v>
      </c>
      <c r="D19" s="21" t="n">
        <f aca="false">B17*C18-C17*B18</f>
        <v>-1</v>
      </c>
    </row>
    <row r="20" customFormat="false" ht="21.75" hidden="false" customHeight="true" outlineLevel="0" collapsed="false"/>
    <row r="21" customFormat="false" ht="18" hidden="false" customHeight="true" outlineLevel="0" collapsed="false">
      <c r="A21" s="3" t="s">
        <v>31</v>
      </c>
      <c r="B21" s="3"/>
      <c r="C21" s="3"/>
      <c r="D21" s="3"/>
      <c r="E21" s="3"/>
    </row>
    <row r="22" customFormat="false" ht="18" hidden="false" customHeight="true" outlineLevel="0" collapsed="false">
      <c r="A22" s="4"/>
      <c r="B22" s="4" t="s">
        <v>32</v>
      </c>
      <c r="C22" s="4" t="s">
        <v>33</v>
      </c>
      <c r="D22" s="4" t="s">
        <v>34</v>
      </c>
    </row>
    <row r="23" customFormat="false" ht="7.5" hidden="false" customHeight="true" outlineLevel="0" collapsed="false">
      <c r="A23" s="22" t="s">
        <v>31</v>
      </c>
      <c r="B23" s="23" t="n">
        <f aca="false">(B6+B7+B8)/3</f>
        <v>0.333333333333333</v>
      </c>
      <c r="C23" s="23" t="n">
        <f aca="false">(C6+C7+C8)/3</f>
        <v>0.333333333333333</v>
      </c>
      <c r="D23" s="23" t="n">
        <f aca="false">(D6+D7+D8)/3</f>
        <v>0.333333333333333</v>
      </c>
    </row>
    <row r="24" customFormat="false" ht="21.75" hidden="false" customHeight="true" outlineLevel="0" collapsed="false"/>
    <row r="25" customFormat="false" ht="18" hidden="false" customHeight="true" outlineLevel="0" collapsed="false">
      <c r="A25" s="3" t="s">
        <v>35</v>
      </c>
      <c r="B25" s="3"/>
      <c r="C25" s="3"/>
      <c r="D25" s="3"/>
      <c r="E25" s="3"/>
    </row>
    <row r="26" customFormat="false" ht="18" hidden="false" customHeight="true" outlineLevel="0" collapsed="false">
      <c r="A26" s="24" t="s">
        <v>36</v>
      </c>
      <c r="B26" s="25" t="n">
        <f aca="false">B13-B23</f>
        <v>1.66666666666667</v>
      </c>
      <c r="C26" s="25" t="n">
        <f aca="false">C13-C23</f>
        <v>2.66666666666667</v>
      </c>
      <c r="D26" s="25" t="n">
        <f aca="false">D13-D23</f>
        <v>4.66666666666667</v>
      </c>
    </row>
    <row r="27" customFormat="false" ht="21.75" hidden="false" customHeight="true" outlineLevel="0" collapsed="false">
      <c r="A27" s="26" t="s">
        <v>37</v>
      </c>
      <c r="B27" s="27" t="n">
        <f aca="false">MAX(0,B19*B26+C19*C26+D19*D26)</f>
        <v>0</v>
      </c>
      <c r="C27" s="27"/>
      <c r="D27" s="27"/>
    </row>
  </sheetData>
  <mergeCells count="10">
    <mergeCell ref="A1:N1"/>
    <mergeCell ref="A2:N2"/>
    <mergeCell ref="A4:E4"/>
    <mergeCell ref="G4:N4"/>
    <mergeCell ref="A11:E11"/>
    <mergeCell ref="G11:N11"/>
    <mergeCell ref="A15:E15"/>
    <mergeCell ref="A21:E21"/>
    <mergeCell ref="A25:E25"/>
    <mergeCell ref="B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5"/>
    <col collapsed="false" customWidth="true" hidden="false" outlineLevel="0" max="3" min="3" style="0" width="50"/>
  </cols>
  <sheetData>
    <row r="1" customFormat="false" ht="18.65" hidden="false" customHeight="true" outlineLevel="0" collapsed="false">
      <c r="A1" s="28" t="s">
        <v>38</v>
      </c>
      <c r="B1" s="28"/>
      <c r="C1" s="28"/>
      <c r="D1" s="28"/>
      <c r="E1" s="28"/>
      <c r="F1" s="28"/>
    </row>
    <row r="2" customFormat="false" ht="19.5" hidden="false" customHeight="true" outlineLevel="0" collapsed="false">
      <c r="A2" s="4" t="s">
        <v>39</v>
      </c>
      <c r="B2" s="4" t="s">
        <v>40</v>
      </c>
      <c r="C2" s="4" t="s">
        <v>41</v>
      </c>
    </row>
    <row r="3" customFormat="false" ht="19.5" hidden="false" customHeight="true" outlineLevel="0" collapsed="false">
      <c r="A3" s="29" t="s">
        <v>42</v>
      </c>
      <c r="B3" s="30" t="s">
        <v>43</v>
      </c>
      <c r="C3" s="30"/>
    </row>
    <row r="4" customFormat="false" ht="19.5" hidden="false" customHeight="true" outlineLevel="0" collapsed="false">
      <c r="A4" s="29" t="s">
        <v>44</v>
      </c>
      <c r="B4" s="30" t="s">
        <v>45</v>
      </c>
      <c r="C4" s="30"/>
    </row>
    <row r="5" customFormat="false" ht="19.5" hidden="false" customHeight="true" outlineLevel="0" collapsed="false">
      <c r="A5" s="29" t="s">
        <v>46</v>
      </c>
      <c r="B5" s="30" t="s">
        <v>47</v>
      </c>
      <c r="C5" s="30"/>
    </row>
    <row r="6" customFormat="false" ht="19.5" hidden="false" customHeight="true" outlineLevel="0" collapsed="false">
      <c r="A6" s="29" t="s">
        <v>48</v>
      </c>
      <c r="B6" s="30" t="s">
        <v>49</v>
      </c>
      <c r="C6" s="30"/>
    </row>
    <row r="7" customFormat="false" ht="19.5" hidden="false" customHeight="true" outlineLevel="0" collapsed="false">
      <c r="A7" s="29" t="s">
        <v>50</v>
      </c>
      <c r="B7" s="30" t="s">
        <v>51</v>
      </c>
      <c r="C7" s="30"/>
    </row>
    <row r="8" customFormat="false" ht="19.5" hidden="false" customHeight="true" outlineLevel="0" collapsed="false">
      <c r="A8" s="29" t="s">
        <v>52</v>
      </c>
      <c r="B8" s="30" t="s">
        <v>53</v>
      </c>
      <c r="C8" s="30"/>
    </row>
    <row r="9" customFormat="false" ht="19.5" hidden="false" customHeight="true" outlineLevel="0" collapsed="false">
      <c r="A9" s="31"/>
      <c r="B9" s="31"/>
      <c r="C9" s="31"/>
    </row>
    <row r="10" customFormat="false" ht="19.5" hidden="false" customHeight="true" outlineLevel="0" collapsed="false">
      <c r="A10" s="15" t="s">
        <v>54</v>
      </c>
      <c r="B10" s="15" t="s">
        <v>55</v>
      </c>
      <c r="C10" s="15"/>
    </row>
    <row r="11" customFormat="false" ht="19.5" hidden="false" customHeight="true" outlineLevel="0" collapsed="false">
      <c r="A11" s="15" t="s">
        <v>41</v>
      </c>
      <c r="B11" s="15" t="s">
        <v>56</v>
      </c>
      <c r="C11" s="15"/>
    </row>
  </sheetData>
  <mergeCells count="9">
    <mergeCell ref="A1:F1"/>
    <mergeCell ref="B3:C3"/>
    <mergeCell ref="B4:C4"/>
    <mergeCell ref="B5:C5"/>
    <mergeCell ref="B6:C6"/>
    <mergeCell ref="B7:C7"/>
    <mergeCell ref="B8:C8"/>
    <mergeCell ref="B10:C10"/>
    <mergeCell ref="B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2026-03-09T12:37:48Z</dcterms:created>
  <dc:creator>openpyxl</dc:creator>
  <dc:description/>
  <dc:language>en-US</dc:language>
  <cp:lastModifiedBy/>
  <dcterms:modified xsi:type="dcterms:W3CDTF">2026-03-09T12:37:56Z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